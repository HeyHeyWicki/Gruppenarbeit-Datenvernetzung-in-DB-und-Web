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ocuments\Phyton\Prüfung-3-Aufgaben-Daten-Einschätzung\"/>
    </mc:Choice>
  </mc:AlternateContent>
  <xr:revisionPtr revIDLastSave="0" documentId="13_ncr:1_{1815164E-5DCC-42AD-8EA4-E3DAC51143B0}" xr6:coauthVersionLast="47" xr6:coauthVersionMax="47" xr10:uidLastSave="{00000000-0000-0000-0000-000000000000}"/>
  <bookViews>
    <workbookView xWindow="-108" yWindow="-108" windowWidth="23256" windowHeight="12456" firstSheet="1" activeTab="1" xr2:uid="{1BE1B599-9B6D-4711-85B1-89295498E874}"/>
  </bookViews>
  <sheets>
    <sheet name="Tabelle1" sheetId="2" state="hidden" r:id="rId1"/>
    <sheet name="Bewertu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K22" i="1"/>
  <c r="J22" i="1"/>
  <c r="G22" i="1"/>
  <c r="F22" i="1"/>
  <c r="C22" i="1"/>
  <c r="B22" i="1"/>
  <c r="G3" i="1" l="1"/>
</calcChain>
</file>

<file path=xl/sharedStrings.xml><?xml version="1.0" encoding="utf-8"?>
<sst xmlns="http://schemas.openxmlformats.org/spreadsheetml/2006/main" count="75" uniqueCount="23">
  <si>
    <t>Aufgabe 1</t>
  </si>
  <si>
    <t>Mögliche Punkte</t>
  </si>
  <si>
    <t>Einschätzung</t>
  </si>
  <si>
    <t>Lauffähigkeit</t>
  </si>
  <si>
    <t>Total:</t>
  </si>
  <si>
    <t>Aufgabe 2</t>
  </si>
  <si>
    <t>Aufgabe 3</t>
  </si>
  <si>
    <t>Vorname:</t>
  </si>
  <si>
    <t>Name:</t>
  </si>
  <si>
    <t>Gesamt:</t>
  </si>
  <si>
    <t>Selbstbewertung Prüfung:</t>
  </si>
  <si>
    <t>-vollständig</t>
  </si>
  <si>
    <t>-teilweise</t>
  </si>
  <si>
    <t>-nein</t>
  </si>
  <si>
    <t>Kriterien</t>
  </si>
  <si>
    <r>
      <t xml:space="preserve">Resultat </t>
    </r>
    <r>
      <rPr>
        <sz val="12"/>
        <color theme="1"/>
        <rFont val="Calibri"/>
        <family val="2"/>
        <scheme val="minor"/>
      </rPr>
      <t>(Korrektheit)</t>
    </r>
  </si>
  <si>
    <r>
      <t xml:space="preserve">Vorgaben </t>
    </r>
    <r>
      <rPr>
        <sz val="12"/>
        <color theme="1"/>
        <rFont val="Calibri"/>
        <family val="2"/>
        <scheme val="minor"/>
      </rPr>
      <t>eingehalten</t>
    </r>
  </si>
  <si>
    <r>
      <rPr>
        <b/>
        <sz val="12"/>
        <color theme="1"/>
        <rFont val="Calibri"/>
        <family val="2"/>
        <scheme val="minor"/>
      </rPr>
      <t>Eigenständigkeit</t>
    </r>
    <r>
      <rPr>
        <sz val="12"/>
        <color theme="1"/>
        <rFont val="Calibri"/>
        <family val="2"/>
        <scheme val="minor"/>
      </rPr>
      <t xml:space="preserve"> (KI):</t>
    </r>
  </si>
  <si>
    <t>Resultat</t>
  </si>
  <si>
    <t>Vorgaben</t>
  </si>
  <si>
    <t>Eigenständigkeit</t>
  </si>
  <si>
    <t>Wicki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</si>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</sst>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0" xfId="0" applyFont="1" applyFill="1"/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1" fillId="5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1" fillId="7" borderId="3" xfId="0" applyFont="1" applyFill="1" applyBorder="1"/>
    <xf numFmtId="0" fontId="1" fillId="7" borderId="1" xfId="0" applyFont="1" applyFill="1" applyBorder="1"/>
    <xf numFmtId="0" fontId="1" fillId="7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7" borderId="5" xfId="0" applyFont="1" applyFill="1" applyBorder="1"/>
    <xf numFmtId="0" fontId="4" fillId="7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 applyProtection="1">
      <alignment horizontal="center"/>
      <protection locked="0"/>
    </xf>
    <xf numFmtId="0" fontId="1" fillId="3" borderId="6" xfId="0" applyFont="1" applyFill="1" applyBorder="1" applyProtection="1">
      <protection locked="0"/>
    </xf>
    <xf numFmtId="0" fontId="4" fillId="3" borderId="6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0C3B3D87-6AF3-4F87-ABFA-E099D42584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57AC-2491-4744-B1AF-594D099798AD}">
  <dimension ref="A1:B19"/>
  <sheetViews>
    <sheetView workbookViewId="0">
      <selection activeCell="A20" sqref="A20"/>
    </sheetView>
  </sheetViews>
  <sheetFormatPr baseColWidth="10" defaultRowHeight="14.4" x14ac:dyDescent="0.3"/>
  <cols>
    <col min="1" max="1" width="14.21875" bestFit="1" customWidth="1"/>
  </cols>
  <sheetData>
    <row r="1" spans="1:2" x14ac:dyDescent="0.3">
      <c r="A1" t="s">
        <v>3</v>
      </c>
    </row>
    <row r="2" spans="1:2" x14ac:dyDescent="0.3">
      <c r="A2">
        <v>0</v>
      </c>
      <c r="B2">
        <v>0</v>
      </c>
    </row>
    <row r="3" spans="1:2" x14ac:dyDescent="0.3">
      <c r="A3">
        <v>3</v>
      </c>
      <c r="B3">
        <v>3</v>
      </c>
    </row>
    <row r="4" spans="1:2" x14ac:dyDescent="0.3">
      <c r="A4">
        <v>6</v>
      </c>
      <c r="B4">
        <v>6</v>
      </c>
    </row>
    <row r="6" spans="1:2" x14ac:dyDescent="0.3">
      <c r="A6" t="s">
        <v>18</v>
      </c>
    </row>
    <row r="7" spans="1:2" x14ac:dyDescent="0.3">
      <c r="A7">
        <v>0</v>
      </c>
    </row>
    <row r="8" spans="1:2" x14ac:dyDescent="0.3">
      <c r="A8">
        <v>3</v>
      </c>
    </row>
    <row r="9" spans="1:2" x14ac:dyDescent="0.3">
      <c r="A9">
        <v>6</v>
      </c>
    </row>
    <row r="11" spans="1:2" x14ac:dyDescent="0.3">
      <c r="A11" t="s">
        <v>19</v>
      </c>
    </row>
    <row r="12" spans="1:2" x14ac:dyDescent="0.3">
      <c r="A12">
        <v>0</v>
      </c>
    </row>
    <row r="13" spans="1:2" x14ac:dyDescent="0.3">
      <c r="A13">
        <v>4</v>
      </c>
    </row>
    <row r="14" spans="1:2" x14ac:dyDescent="0.3">
      <c r="A14">
        <v>8</v>
      </c>
    </row>
    <row r="16" spans="1:2" x14ac:dyDescent="0.3">
      <c r="A16" t="s">
        <v>20</v>
      </c>
    </row>
    <row r="17" spans="1:1" x14ac:dyDescent="0.3">
      <c r="A17">
        <v>0</v>
      </c>
    </row>
    <row r="18" spans="1:1" x14ac:dyDescent="0.3">
      <c r="A18">
        <v>6</v>
      </c>
    </row>
    <row r="19" spans="1:1" x14ac:dyDescent="0.3">
      <c r="A19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A420-FD19-42B5-9A4F-388D2F1FD443}">
  <sheetPr>
    <pageSetUpPr fitToPage="1"/>
  </sheetPr>
  <dimension ref="A1:K23"/>
  <sheetViews>
    <sheetView tabSelected="1" zoomScaleNormal="100" workbookViewId="0">
      <selection activeCell="K19" sqref="K19:K21"/>
    </sheetView>
  </sheetViews>
  <sheetFormatPr baseColWidth="10" defaultColWidth="11.44140625" defaultRowHeight="14.4" x14ac:dyDescent="0.3"/>
  <cols>
    <col min="1" max="1" width="20.77734375" customWidth="1"/>
    <col min="2" max="2" width="16.21875" bestFit="1" customWidth="1"/>
    <col min="3" max="3" width="12.77734375" bestFit="1" customWidth="1"/>
    <col min="4" max="4" width="2.88671875" customWidth="1"/>
    <col min="5" max="5" width="21" bestFit="1" customWidth="1"/>
    <col min="6" max="6" width="16.21875" bestFit="1" customWidth="1"/>
    <col min="7" max="7" width="12.77734375" bestFit="1" customWidth="1"/>
    <col min="8" max="8" width="3.44140625" customWidth="1"/>
    <col min="9" max="9" width="21" bestFit="1" customWidth="1"/>
    <col min="10" max="10" width="16.21875" bestFit="1" customWidth="1"/>
    <col min="11" max="11" width="12.77734375" bestFit="1" customWidth="1"/>
  </cols>
  <sheetData>
    <row r="1" spans="1:11" ht="16.2" thickBot="1" x14ac:dyDescent="0.35">
      <c r="A1" s="27" t="s">
        <v>10</v>
      </c>
      <c r="B1" s="27"/>
      <c r="C1" s="24">
        <v>3</v>
      </c>
      <c r="D1" s="5"/>
      <c r="E1" s="5"/>
      <c r="F1" s="6"/>
      <c r="G1" s="6"/>
    </row>
    <row r="2" spans="1:11" ht="16.2" thickBot="1" x14ac:dyDescent="0.35">
      <c r="A2" s="1" t="s">
        <v>8</v>
      </c>
      <c r="B2" s="25" t="s">
        <v>21</v>
      </c>
      <c r="C2" s="6"/>
      <c r="D2" s="6"/>
      <c r="E2" s="6"/>
      <c r="F2" s="7" t="s">
        <v>1</v>
      </c>
      <c r="G2" s="7" t="s">
        <v>2</v>
      </c>
    </row>
    <row r="3" spans="1:11" ht="16.2" thickBot="1" x14ac:dyDescent="0.35">
      <c r="A3" s="1" t="s">
        <v>7</v>
      </c>
      <c r="B3" s="26" t="s">
        <v>22</v>
      </c>
      <c r="C3" s="6"/>
      <c r="D3" s="6"/>
      <c r="E3" s="4" t="s">
        <v>9</v>
      </c>
      <c r="F3" s="2">
        <f>SUM(B9,B13,B17,B21,F9,F13,F17,F21,J21,J17,J13,J9)</f>
        <v>90</v>
      </c>
      <c r="G3" s="3">
        <f>SUM(C22,G22,K22)</f>
        <v>17</v>
      </c>
    </row>
    <row r="4" spans="1:11" ht="9" customHeight="1" x14ac:dyDescent="0.3">
      <c r="A4" s="6"/>
      <c r="B4" s="6"/>
      <c r="C4" s="6"/>
      <c r="D4" s="6"/>
      <c r="E4" s="6"/>
      <c r="F4" s="6"/>
      <c r="G4" s="6"/>
    </row>
    <row r="5" spans="1:11" ht="15.6" x14ac:dyDescent="0.3">
      <c r="A5" s="11" t="s">
        <v>14</v>
      </c>
      <c r="B5" s="31" t="s">
        <v>0</v>
      </c>
      <c r="C5" s="32"/>
      <c r="D5" s="6"/>
      <c r="E5" s="11" t="s">
        <v>14</v>
      </c>
      <c r="F5" s="31" t="s">
        <v>5</v>
      </c>
      <c r="G5" s="32"/>
      <c r="I5" s="11" t="s">
        <v>14</v>
      </c>
      <c r="J5" s="31" t="s">
        <v>6</v>
      </c>
      <c r="K5" s="32"/>
    </row>
    <row r="6" spans="1:11" ht="16.2" thickBot="1" x14ac:dyDescent="0.35">
      <c r="A6" s="13" t="s">
        <v>3</v>
      </c>
      <c r="B6" s="14" t="s">
        <v>1</v>
      </c>
      <c r="C6" s="21" t="s">
        <v>2</v>
      </c>
      <c r="D6" s="6"/>
      <c r="E6" s="13" t="s">
        <v>3</v>
      </c>
      <c r="F6" s="14" t="s">
        <v>1</v>
      </c>
      <c r="G6" s="21" t="s">
        <v>2</v>
      </c>
      <c r="I6" s="13" t="s">
        <v>3</v>
      </c>
      <c r="J6" s="14" t="s">
        <v>1</v>
      </c>
      <c r="K6" s="21" t="s">
        <v>2</v>
      </c>
    </row>
    <row r="7" spans="1:11" ht="15.6" x14ac:dyDescent="0.3">
      <c r="A7" s="10" t="s">
        <v>13</v>
      </c>
      <c r="B7" s="18">
        <v>0</v>
      </c>
      <c r="C7" s="28">
        <v>3</v>
      </c>
      <c r="D7" s="6"/>
      <c r="E7" s="10" t="s">
        <v>13</v>
      </c>
      <c r="F7" s="18">
        <v>0</v>
      </c>
      <c r="G7" s="28">
        <v>0</v>
      </c>
      <c r="I7" s="10" t="s">
        <v>13</v>
      </c>
      <c r="J7" s="18">
        <v>0</v>
      </c>
      <c r="K7" s="28">
        <v>3</v>
      </c>
    </row>
    <row r="8" spans="1:11" ht="15.6" x14ac:dyDescent="0.3">
      <c r="A8" s="9" t="s">
        <v>12</v>
      </c>
      <c r="B8" s="19">
        <v>3</v>
      </c>
      <c r="C8" s="29"/>
      <c r="D8" s="6"/>
      <c r="E8" s="9" t="s">
        <v>12</v>
      </c>
      <c r="F8" s="19">
        <v>3</v>
      </c>
      <c r="G8" s="29"/>
      <c r="I8" s="9" t="s">
        <v>12</v>
      </c>
      <c r="J8" s="19">
        <v>3</v>
      </c>
      <c r="K8" s="29"/>
    </row>
    <row r="9" spans="1:11" ht="16.2" thickBot="1" x14ac:dyDescent="0.35">
      <c r="A9" s="9" t="s">
        <v>11</v>
      </c>
      <c r="B9" s="20">
        <v>6</v>
      </c>
      <c r="C9" s="30"/>
      <c r="D9" s="6"/>
      <c r="E9" s="9" t="s">
        <v>11</v>
      </c>
      <c r="F9" s="20">
        <v>6</v>
      </c>
      <c r="G9" s="30"/>
      <c r="I9" s="9" t="s">
        <v>11</v>
      </c>
      <c r="J9" s="20">
        <v>6</v>
      </c>
      <c r="K9" s="30"/>
    </row>
    <row r="10" spans="1:11" ht="16.2" thickBot="1" x14ac:dyDescent="0.35">
      <c r="A10" s="15" t="s">
        <v>15</v>
      </c>
      <c r="B10" s="12"/>
      <c r="C10" s="22"/>
      <c r="D10" s="6"/>
      <c r="E10" s="15" t="s">
        <v>15</v>
      </c>
      <c r="F10" s="12"/>
      <c r="G10" s="22"/>
      <c r="I10" s="15" t="s">
        <v>15</v>
      </c>
      <c r="J10" s="12"/>
      <c r="K10" s="22"/>
    </row>
    <row r="11" spans="1:11" ht="15.6" x14ac:dyDescent="0.3">
      <c r="A11" s="8" t="s">
        <v>13</v>
      </c>
      <c r="B11" s="18">
        <v>0</v>
      </c>
      <c r="C11" s="28">
        <v>0</v>
      </c>
      <c r="D11" s="6"/>
      <c r="E11" s="8" t="s">
        <v>13</v>
      </c>
      <c r="F11" s="18">
        <v>0</v>
      </c>
      <c r="G11" s="28">
        <v>0</v>
      </c>
      <c r="I11" s="8" t="s">
        <v>13</v>
      </c>
      <c r="J11" s="18">
        <v>0</v>
      </c>
      <c r="K11" s="28">
        <v>3</v>
      </c>
    </row>
    <row r="12" spans="1:11" ht="15.6" x14ac:dyDescent="0.3">
      <c r="A12" s="8" t="s">
        <v>12</v>
      </c>
      <c r="B12" s="19">
        <v>3</v>
      </c>
      <c r="C12" s="29"/>
      <c r="D12" s="6"/>
      <c r="E12" s="8" t="s">
        <v>12</v>
      </c>
      <c r="F12" s="19">
        <v>3</v>
      </c>
      <c r="G12" s="29"/>
      <c r="I12" s="8" t="s">
        <v>12</v>
      </c>
      <c r="J12" s="19">
        <v>3</v>
      </c>
      <c r="K12" s="29"/>
    </row>
    <row r="13" spans="1:11" ht="16.2" thickBot="1" x14ac:dyDescent="0.35">
      <c r="A13" s="8" t="s">
        <v>11</v>
      </c>
      <c r="B13" s="20">
        <v>6</v>
      </c>
      <c r="C13" s="30"/>
      <c r="D13" s="6"/>
      <c r="E13" s="8" t="s">
        <v>11</v>
      </c>
      <c r="F13" s="20">
        <v>6</v>
      </c>
      <c r="G13" s="30"/>
      <c r="I13" s="8" t="s">
        <v>11</v>
      </c>
      <c r="J13" s="20">
        <v>6</v>
      </c>
      <c r="K13" s="30"/>
    </row>
    <row r="14" spans="1:11" ht="16.2" thickBot="1" x14ac:dyDescent="0.35">
      <c r="A14" s="15" t="s">
        <v>16</v>
      </c>
      <c r="B14" s="12"/>
      <c r="C14" s="22"/>
      <c r="D14" s="6"/>
      <c r="E14" s="15" t="s">
        <v>16</v>
      </c>
      <c r="F14" s="12"/>
      <c r="G14" s="22"/>
      <c r="I14" s="15" t="s">
        <v>16</v>
      </c>
      <c r="J14" s="12"/>
      <c r="K14" s="22"/>
    </row>
    <row r="15" spans="1:11" ht="15.6" x14ac:dyDescent="0.3">
      <c r="A15" s="8" t="s">
        <v>13</v>
      </c>
      <c r="B15" s="18">
        <v>0</v>
      </c>
      <c r="C15" s="28">
        <v>4</v>
      </c>
      <c r="D15" s="6"/>
      <c r="E15" s="8" t="s">
        <v>13</v>
      </c>
      <c r="F15" s="18">
        <v>0</v>
      </c>
      <c r="G15" s="28">
        <v>0</v>
      </c>
      <c r="I15" s="8" t="s">
        <v>13</v>
      </c>
      <c r="J15" s="18">
        <v>0</v>
      </c>
      <c r="K15" s="28">
        <v>4</v>
      </c>
    </row>
    <row r="16" spans="1:11" ht="15.6" x14ac:dyDescent="0.3">
      <c r="A16" s="8" t="s">
        <v>12</v>
      </c>
      <c r="B16" s="19">
        <v>4</v>
      </c>
      <c r="C16" s="29"/>
      <c r="D16" s="6"/>
      <c r="E16" s="8" t="s">
        <v>12</v>
      </c>
      <c r="F16" s="19">
        <v>4</v>
      </c>
      <c r="G16" s="29"/>
      <c r="I16" s="8" t="s">
        <v>12</v>
      </c>
      <c r="J16" s="19">
        <v>4</v>
      </c>
      <c r="K16" s="29"/>
    </row>
    <row r="17" spans="1:11" ht="16.2" thickBot="1" x14ac:dyDescent="0.35">
      <c r="A17" s="8" t="s">
        <v>11</v>
      </c>
      <c r="B17" s="20">
        <v>8</v>
      </c>
      <c r="C17" s="30"/>
      <c r="D17" s="6"/>
      <c r="E17" s="8" t="s">
        <v>11</v>
      </c>
      <c r="F17" s="20">
        <v>8</v>
      </c>
      <c r="G17" s="30"/>
      <c r="I17" s="8" t="s">
        <v>11</v>
      </c>
      <c r="J17" s="20">
        <v>8</v>
      </c>
      <c r="K17" s="30"/>
    </row>
    <row r="18" spans="1:11" ht="16.2" thickBot="1" x14ac:dyDescent="0.35">
      <c r="A18" s="16" t="s">
        <v>17</v>
      </c>
      <c r="B18" s="12"/>
      <c r="C18" s="22"/>
      <c r="D18" s="6"/>
      <c r="E18" s="16" t="s">
        <v>17</v>
      </c>
      <c r="F18" s="12"/>
      <c r="G18" s="22"/>
      <c r="I18" s="16" t="s">
        <v>17</v>
      </c>
      <c r="J18" s="12"/>
      <c r="K18" s="22"/>
    </row>
    <row r="19" spans="1:11" ht="15.6" x14ac:dyDescent="0.3">
      <c r="A19" s="8" t="s">
        <v>13</v>
      </c>
      <c r="B19" s="18">
        <v>0</v>
      </c>
      <c r="C19" s="28">
        <v>0</v>
      </c>
      <c r="D19" s="6"/>
      <c r="E19" s="8" t="s">
        <v>13</v>
      </c>
      <c r="F19" s="18">
        <v>0</v>
      </c>
      <c r="G19" s="28">
        <v>0</v>
      </c>
      <c r="I19" s="8" t="s">
        <v>13</v>
      </c>
      <c r="J19" s="18">
        <v>0</v>
      </c>
      <c r="K19" s="28">
        <v>0</v>
      </c>
    </row>
    <row r="20" spans="1:11" ht="15.6" x14ac:dyDescent="0.3">
      <c r="A20" s="8" t="s">
        <v>12</v>
      </c>
      <c r="B20" s="19">
        <v>6</v>
      </c>
      <c r="C20" s="29"/>
      <c r="D20" s="6"/>
      <c r="E20" s="8" t="s">
        <v>12</v>
      </c>
      <c r="F20" s="19">
        <v>6</v>
      </c>
      <c r="G20" s="29"/>
      <c r="I20" s="8" t="s">
        <v>12</v>
      </c>
      <c r="J20" s="19">
        <v>6</v>
      </c>
      <c r="K20" s="29"/>
    </row>
    <row r="21" spans="1:11" ht="16.2" thickBot="1" x14ac:dyDescent="0.35">
      <c r="A21" s="8" t="s">
        <v>11</v>
      </c>
      <c r="B21" s="20">
        <v>10</v>
      </c>
      <c r="C21" s="30"/>
      <c r="D21" s="6"/>
      <c r="E21" s="8" t="s">
        <v>11</v>
      </c>
      <c r="F21" s="20">
        <v>10</v>
      </c>
      <c r="G21" s="30"/>
      <c r="I21" s="8" t="s">
        <v>11</v>
      </c>
      <c r="J21" s="20">
        <v>10</v>
      </c>
      <c r="K21" s="30"/>
    </row>
    <row r="22" spans="1:11" ht="15.6" x14ac:dyDescent="0.3">
      <c r="A22" s="16" t="s">
        <v>4</v>
      </c>
      <c r="B22" s="17">
        <f>SUM(B9,B13,B17,B21)</f>
        <v>30</v>
      </c>
      <c r="C22" s="23">
        <f>SUM(C7:C9,C11:C12,C15:C17,C19:C21)</f>
        <v>7</v>
      </c>
      <c r="D22" s="6"/>
      <c r="E22" s="16" t="s">
        <v>4</v>
      </c>
      <c r="F22" s="17">
        <f>SUM(F9,F13,F17,F21)</f>
        <v>30</v>
      </c>
      <c r="G22" s="23">
        <f>SUM(G7:G8,G11:G12,G15:G16,G19:G20)</f>
        <v>0</v>
      </c>
      <c r="I22" s="16" t="s">
        <v>4</v>
      </c>
      <c r="J22" s="17">
        <f>SUM(J9,J13,J17,J21)</f>
        <v>30</v>
      </c>
      <c r="K22" s="23">
        <f>SUM(K7:K9,K11:K13,K15:K17,K19:K21)</f>
        <v>10</v>
      </c>
    </row>
    <row r="23" spans="1:11" ht="15.6" x14ac:dyDescent="0.3">
      <c r="A23" s="6"/>
      <c r="B23" s="6"/>
      <c r="C23" s="6"/>
      <c r="D23" s="6"/>
    </row>
  </sheetData>
  <sheetProtection algorithmName="SHA-512" hashValue="DUnNNiwBSQnVLXV9JqcjcAiP61nuA90uPLZhAn/bMexGQ0CrFA1uYBNWKOHXjtX9LalLGSlnjrALiT+G8co55w==" saltValue="ujZsrYjPGdu2MSA62iXkJw==" spinCount="100000" sheet="1" objects="1" scenarios="1"/>
  <mergeCells count="16">
    <mergeCell ref="J5:K5"/>
    <mergeCell ref="K7:K9"/>
    <mergeCell ref="K11:K13"/>
    <mergeCell ref="K15:K17"/>
    <mergeCell ref="K19:K21"/>
    <mergeCell ref="A1:B1"/>
    <mergeCell ref="G19:G21"/>
    <mergeCell ref="G15:G17"/>
    <mergeCell ref="G11:G13"/>
    <mergeCell ref="C11:C13"/>
    <mergeCell ref="C15:C17"/>
    <mergeCell ref="C19:C21"/>
    <mergeCell ref="C7:C9"/>
    <mergeCell ref="G7:G9"/>
    <mergeCell ref="B5:C5"/>
    <mergeCell ref="F5:G5"/>
  </mergeCells>
  <phoneticPr fontId="2" type="noConversion"/>
  <dataValidations count="1">
    <dataValidation type="list" allowBlank="1" showInputMessage="1" showErrorMessage="1" sqref="C1" xr:uid="{860CCDDD-E942-4E32-A9D6-ED908BBCC248}">
      <formula1>"1,2,3,4"</formula1>
    </dataValidation>
  </dataValidations>
  <pageMargins left="0.7" right="0.7" top="0.78740157499999996" bottom="0.78740157499999996" header="0.3" footer="0.3"/>
  <pageSetup paperSize="9" scale="61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AD1F5A1-9EA7-4EAA-8871-875D146CF078}">
          <x14:formula1>
            <xm:f>Tabelle1!$A$2:$A$4</xm:f>
          </x14:formula1>
          <xm:sqref>C7:C9 G7:G9 K7:K9</xm:sqref>
        </x14:dataValidation>
        <x14:dataValidation type="list" allowBlank="1" showInputMessage="1" showErrorMessage="1" xr:uid="{EF2F02CF-2CE5-4AFF-A49E-0DD721DC010D}">
          <x14:formula1>
            <xm:f>Tabelle1!$A$7:$A$9</xm:f>
          </x14:formula1>
          <xm:sqref>C11:C13 G11:G13 K11:K13</xm:sqref>
        </x14:dataValidation>
        <x14:dataValidation type="list" allowBlank="1" showInputMessage="1" showErrorMessage="1" xr:uid="{FE1F46BF-8A71-4B59-9D6C-331FEE1CD243}">
          <x14:formula1>
            <xm:f>Tabelle1!$A$12:$A$14</xm:f>
          </x14:formula1>
          <xm:sqref>C15:C17 G15:G17 K15:K17</xm:sqref>
        </x14:dataValidation>
        <x14:dataValidation type="list" allowBlank="1" showInputMessage="1" showErrorMessage="1" xr:uid="{EDAFF4AD-AB54-4F33-A09D-D286A14DD316}">
          <x14:formula1>
            <xm:f>Tabelle1!$A$17:$A$19</xm:f>
          </x14:formula1>
          <xm:sqref>C19:C21 G19:G21 K19:K21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A59C0B2663C849B955DC904DFAC595" ma:contentTypeVersion="11" ma:contentTypeDescription="Ein neues Dokument erstellen." ma:contentTypeScope="" ma:versionID="3a83bc199d9a8401641210f7be8664c8">
  <xsd:schema xmlns:xsd="http://www.w3.org/2001/XMLSchema" xmlns:xs="http://www.w3.org/2001/XMLSchema" xmlns:p="http://schemas.microsoft.com/office/2006/metadata/properties" xmlns:ns2="15c7eeaa-636e-4863-b1c1-53c436b9e1b6" xmlns:ns3="7a799cf6-ed4c-47ef-9170-5bf098985cd4" targetNamespace="http://schemas.microsoft.com/office/2006/metadata/properties" ma:root="true" ma:fieldsID="527684212ec71afcc549e932a56754b2" ns2:_="" ns3:_="">
    <xsd:import namespace="15c7eeaa-636e-4863-b1c1-53c436b9e1b6"/>
    <xsd:import namespace="7a799cf6-ed4c-47ef-9170-5bf098985c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7eeaa-636e-4863-b1c1-53c436b9e1b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dd8d9dca-157a-4ed5-b925-09f8375dc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99cf6-ed4c-47ef-9170-5bf098985c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e77e8de-323d-49dc-9e47-0a4768691a32}" ma:internalName="TaxCatchAll" ma:showField="CatchAllData" ma:web="7a799cf6-ed4c-47ef-9170-5bf098985c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c7eeaa-636e-4863-b1c1-53c436b9e1b6">
      <Terms xmlns="http://schemas.microsoft.com/office/infopath/2007/PartnerControls"/>
    </lcf76f155ced4ddcb4097134ff3c332f>
    <TaxCatchAll xmlns="7a799cf6-ed4c-47ef-9170-5bf098985cd4" xsi:nil="true"/>
  </documentManagement>
</p:properties>
</file>

<file path=customXml/itemProps1.xml><?xml version="1.0" encoding="utf-8"?>
<ds:datastoreItem xmlns:ds="http://schemas.openxmlformats.org/officeDocument/2006/customXml" ds:itemID="{70B8B7DB-5DF0-4069-A3B6-58C8B95F6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7eeaa-636e-4863-b1c1-53c436b9e1b6"/>
    <ds:schemaRef ds:uri="7a799cf6-ed4c-47ef-9170-5bf098985c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AEF9C7-3D7A-4D03-8599-88BFACED28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5025C3-BAD6-49AA-985B-3EC78D37F38F}">
  <ds:schemaRefs>
    <ds:schemaRef ds:uri="http://schemas.microsoft.com/office/2006/metadata/properties"/>
    <ds:schemaRef ds:uri="http://schemas.microsoft.com/office/infopath/2007/PartnerControls"/>
    <ds:schemaRef ds:uri="15c7eeaa-636e-4863-b1c1-53c436b9e1b6"/>
    <ds:schemaRef ds:uri="7a799cf6-ed4c-47ef-9170-5bf098985c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Bewertung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Zuercher</dc:creator>
  <cp:keywords/>
  <dc:description/>
  <cp:lastModifiedBy>Mario Wicki</cp:lastModifiedBy>
  <cp:revision/>
  <dcterms:created xsi:type="dcterms:W3CDTF">2024-03-08T13:53:19Z</dcterms:created>
  <dcterms:modified xsi:type="dcterms:W3CDTF">2025-02-24T19:18:47Z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2024-03-08T13:55:23Z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5240eab7-47e6-4968-8e9e-3bebc07330a1</vt:lpwstr>
  </property>
  <property fmtid="{D5CDD505-2E9C-101B-9397-08002B2CF9AE}" pid="7" name="MSIP_Label_defa4170-0d19-0005-0004-bc88714345d2_ActionId">
    <vt:lpwstr>73d2de4a-1201-44f1-83f2-b86376846603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0x0101003FA59C0B2663C849B955DC904DFAC595</vt:lpwstr>
  </property>
  <property fmtid="{D5CDD505-2E9C-101B-9397-08002B2CF9AE}" pid="10" name="MediaServiceImageTags">
    <vt:lpwstr/>
  </property>
</Properties>
</file>